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ok\Downloads\BTECH 3RD YEAR\6TH SEMESTER\BUSINESS ANALYTICS\Project\"/>
    </mc:Choice>
  </mc:AlternateContent>
  <xr:revisionPtr revIDLastSave="0" documentId="13_ncr:1_{E00B5757-671F-4334-AA99-351FDA23F705}" xr6:coauthVersionLast="47" xr6:coauthVersionMax="47" xr10:uidLastSave="{00000000-0000-0000-0000-000000000000}"/>
  <bookViews>
    <workbookView xWindow="-120" yWindow="-120" windowWidth="20730" windowHeight="11040" activeTab="4" xr2:uid="{B9056E23-9CEF-48F6-AD93-70AE04465FF8}"/>
  </bookViews>
  <sheets>
    <sheet name="Personas" sheetId="1" r:id="rId1"/>
    <sheet name="Target_Rate_Impact" sheetId="2" r:id="rId2"/>
    <sheet name="Exposure_Profiles" sheetId="3" r:id="rId3"/>
    <sheet name="Break_Even_Rate" sheetId="4" r:id="rId4"/>
    <sheet name="Sensitivity_Analysi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4" l="1"/>
  <c r="D3" i="4"/>
  <c r="D4" i="4"/>
  <c r="E2" i="2"/>
  <c r="F2" i="2"/>
  <c r="E3" i="2"/>
  <c r="F3" i="2"/>
</calcChain>
</file>

<file path=xl/sharedStrings.xml><?xml version="1.0" encoding="utf-8"?>
<sst xmlns="http://schemas.openxmlformats.org/spreadsheetml/2006/main" count="48" uniqueCount="31">
  <si>
    <t>Business Type</t>
  </si>
  <si>
    <t>USD Amount</t>
  </si>
  <si>
    <t>Type</t>
  </si>
  <si>
    <t>Importer</t>
  </si>
  <si>
    <t>Payable</t>
  </si>
  <si>
    <t>Exporter</t>
  </si>
  <si>
    <t>Receivable</t>
  </si>
  <si>
    <t>IT Firm</t>
  </si>
  <si>
    <t>Revenue</t>
  </si>
  <si>
    <t>Current Rate</t>
  </si>
  <si>
    <t>Target Rate</t>
  </si>
  <si>
    <t>1% Impact (₹)</t>
  </si>
  <si>
    <t>5% Impact (₹)</t>
  </si>
  <si>
    <t>calculated</t>
  </si>
  <si>
    <t>Current USD–INR = 83</t>
  </si>
  <si>
    <t>Assume</t>
  </si>
  <si>
    <t>Exposure Formula</t>
  </si>
  <si>
    <t>Description</t>
  </si>
  <si>
    <t>USD × Rate Increase</t>
  </si>
  <si>
    <t>Loss if INR weakens</t>
  </si>
  <si>
    <t>USD × Rate Decrease</t>
  </si>
  <si>
    <t>Loss if INR strengthens</t>
  </si>
  <si>
    <t>(USD×Rate) − Costs</t>
  </si>
  <si>
    <t>Profit sensitivity</t>
  </si>
  <si>
    <t>INR Cost / Revenue</t>
  </si>
  <si>
    <t>Break-even Rate</t>
  </si>
  <si>
    <t>Rate</t>
  </si>
  <si>
    <t>Importer Impact</t>
  </si>
  <si>
    <t>Exporter Impact</t>
  </si>
  <si>
    <t>IT Firm Profit</t>
  </si>
  <si>
    <t>calc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</si>
</sst>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F6348-FC77-4E75-BC7C-11B1928CDD8D}">
  <dimension ref="A1:D4"/>
  <sheetViews>
    <sheetView workbookViewId="0">
      <selection activeCell="D2" sqref="D2:D4"/>
    </sheetView>
  </sheetViews>
  <sheetFormatPr defaultRowHeight="15" x14ac:dyDescent="0.25"/>
  <cols>
    <col min="3" max="3" width="14.42578125" customWidth="1"/>
  </cols>
  <sheetData>
    <row r="1" spans="1:4" ht="30" x14ac:dyDescent="0.25">
      <c r="A1" s="1" t="s">
        <v>0</v>
      </c>
      <c r="B1" s="1" t="s">
        <v>1</v>
      </c>
      <c r="C1" s="1" t="s">
        <v>2</v>
      </c>
      <c r="D1" s="1"/>
    </row>
    <row r="2" spans="1:4" x14ac:dyDescent="0.25">
      <c r="A2" s="2" t="s">
        <v>3</v>
      </c>
      <c r="B2" s="2">
        <v>10000</v>
      </c>
      <c r="C2" s="2" t="s">
        <v>4</v>
      </c>
      <c r="D2" s="2"/>
    </row>
    <row r="3" spans="1:4" ht="30" x14ac:dyDescent="0.25">
      <c r="A3" s="2" t="s">
        <v>5</v>
      </c>
      <c r="B3" s="2">
        <v>10000</v>
      </c>
      <c r="C3" s="2" t="s">
        <v>6</v>
      </c>
      <c r="D3" s="2"/>
    </row>
    <row r="4" spans="1:4" x14ac:dyDescent="0.25">
      <c r="A4" s="2" t="s">
        <v>7</v>
      </c>
      <c r="B4" s="2">
        <v>10000</v>
      </c>
      <c r="C4" s="2" t="s">
        <v>8</v>
      </c>
      <c r="D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E86B9-6288-481F-9416-D295851D4123}">
  <dimension ref="A1:F8"/>
  <sheetViews>
    <sheetView workbookViewId="0">
      <selection activeCell="B10" sqref="B10"/>
    </sheetView>
  </sheetViews>
  <sheetFormatPr defaultRowHeight="15" x14ac:dyDescent="0.25"/>
  <cols>
    <col min="1" max="1" width="21.5703125" customWidth="1"/>
    <col min="5" max="5" width="14.140625" customWidth="1"/>
    <col min="6" max="6" width="14.7109375" customWidth="1"/>
  </cols>
  <sheetData>
    <row r="1" spans="1:6" ht="45" x14ac:dyDescent="0.25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 x14ac:dyDescent="0.25">
      <c r="A2" s="2" t="s">
        <v>3</v>
      </c>
      <c r="B2" s="2">
        <v>10000</v>
      </c>
      <c r="C2" s="2">
        <v>83</v>
      </c>
      <c r="D2" s="2">
        <v>84</v>
      </c>
      <c r="E2" s="2">
        <f>10000*0.83</f>
        <v>8300</v>
      </c>
      <c r="F2" s="2">
        <f>10000*4.15</f>
        <v>41500</v>
      </c>
    </row>
    <row r="3" spans="1:6" x14ac:dyDescent="0.25">
      <c r="A3" s="2" t="s">
        <v>5</v>
      </c>
      <c r="B3" s="2">
        <v>10000</v>
      </c>
      <c r="C3" s="2">
        <v>83</v>
      </c>
      <c r="D3" s="2">
        <v>82</v>
      </c>
      <c r="E3" s="2">
        <f>10000*0.83</f>
        <v>8300</v>
      </c>
      <c r="F3" s="2">
        <f>10000*4.15</f>
        <v>41500</v>
      </c>
    </row>
    <row r="4" spans="1:6" ht="30" x14ac:dyDescent="0.25">
      <c r="A4" s="2" t="s">
        <v>7</v>
      </c>
      <c r="B4" s="2">
        <v>10000</v>
      </c>
      <c r="C4" s="2">
        <v>83</v>
      </c>
      <c r="D4" s="2">
        <v>83</v>
      </c>
      <c r="E4" s="2" t="s">
        <v>13</v>
      </c>
      <c r="F4" s="2" t="s">
        <v>13</v>
      </c>
    </row>
    <row r="7" spans="1:6" x14ac:dyDescent="0.25">
      <c r="A7" s="2" t="s">
        <v>15</v>
      </c>
    </row>
    <row r="8" spans="1:6" x14ac:dyDescent="0.25">
      <c r="A8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D7BDB-38C9-4A23-BEE7-5B3FFBE6673F}">
  <dimension ref="A1:C4"/>
  <sheetViews>
    <sheetView workbookViewId="0">
      <selection activeCell="H11" sqref="H11"/>
    </sheetView>
  </sheetViews>
  <sheetFormatPr defaultRowHeight="15" x14ac:dyDescent="0.25"/>
  <cols>
    <col min="2" max="2" width="21.140625" customWidth="1"/>
    <col min="3" max="3" width="19.140625" customWidth="1"/>
  </cols>
  <sheetData>
    <row r="1" spans="1:3" ht="30" x14ac:dyDescent="0.25">
      <c r="A1" s="1" t="s">
        <v>0</v>
      </c>
      <c r="B1" s="1" t="s">
        <v>16</v>
      </c>
      <c r="C1" s="1" t="s">
        <v>17</v>
      </c>
    </row>
    <row r="2" spans="1:3" ht="45" x14ac:dyDescent="0.25">
      <c r="A2" s="2" t="s">
        <v>3</v>
      </c>
      <c r="B2" s="2" t="s">
        <v>18</v>
      </c>
      <c r="C2" s="2" t="s">
        <v>19</v>
      </c>
    </row>
    <row r="3" spans="1:3" ht="60" x14ac:dyDescent="0.25">
      <c r="A3" s="2" t="s">
        <v>5</v>
      </c>
      <c r="B3" s="2" t="s">
        <v>20</v>
      </c>
      <c r="C3" s="2" t="s">
        <v>21</v>
      </c>
    </row>
    <row r="4" spans="1:3" ht="45" x14ac:dyDescent="0.25">
      <c r="A4" s="2" t="s">
        <v>7</v>
      </c>
      <c r="B4" s="2" t="s">
        <v>22</v>
      </c>
      <c r="C4" s="2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81048-F937-42FC-B87F-A9DE9B35EEB5}">
  <dimension ref="A1:D4"/>
  <sheetViews>
    <sheetView workbookViewId="0">
      <selection activeCell="I10" sqref="I10"/>
    </sheetView>
  </sheetViews>
  <sheetFormatPr defaultRowHeight="15" x14ac:dyDescent="0.25"/>
  <sheetData>
    <row r="1" spans="1:4" ht="45" x14ac:dyDescent="0.25">
      <c r="A1" s="1" t="s">
        <v>0</v>
      </c>
      <c r="B1" s="1" t="s">
        <v>1</v>
      </c>
      <c r="C1" s="1" t="s">
        <v>24</v>
      </c>
      <c r="D1" s="1" t="s">
        <v>25</v>
      </c>
    </row>
    <row r="2" spans="1:4" x14ac:dyDescent="0.25">
      <c r="A2" s="2" t="s">
        <v>3</v>
      </c>
      <c r="B2" s="2">
        <v>10000</v>
      </c>
      <c r="C2" s="2">
        <v>850000</v>
      </c>
      <c r="D2" s="2">
        <f>850000/10000</f>
        <v>85</v>
      </c>
    </row>
    <row r="3" spans="1:4" x14ac:dyDescent="0.25">
      <c r="A3" s="2" t="s">
        <v>5</v>
      </c>
      <c r="B3" s="2">
        <v>10000</v>
      </c>
      <c r="C3" s="2">
        <v>750000</v>
      </c>
      <c r="D3" s="2">
        <f>750000/10000</f>
        <v>75</v>
      </c>
    </row>
    <row r="4" spans="1:4" x14ac:dyDescent="0.25">
      <c r="A4" s="2" t="s">
        <v>7</v>
      </c>
      <c r="B4" s="2">
        <v>10000</v>
      </c>
      <c r="C4" s="2">
        <v>600000</v>
      </c>
      <c r="D4" s="2">
        <f>600000/10000</f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11956-9009-4327-A9C0-C34C0683B72F}">
  <dimension ref="A1:D4"/>
  <sheetViews>
    <sheetView tabSelected="1" workbookViewId="0">
      <selection activeCell="E13" sqref="E13"/>
    </sheetView>
  </sheetViews>
  <sheetFormatPr defaultRowHeight="15" x14ac:dyDescent="0.25"/>
  <sheetData>
    <row r="1" spans="1:4" ht="30" x14ac:dyDescent="0.25">
      <c r="A1" s="1" t="s">
        <v>26</v>
      </c>
      <c r="B1" s="1" t="s">
        <v>27</v>
      </c>
      <c r="C1" s="1" t="s">
        <v>28</v>
      </c>
      <c r="D1" s="1" t="s">
        <v>29</v>
      </c>
    </row>
    <row r="2" spans="1:4" x14ac:dyDescent="0.25">
      <c r="A2" s="2">
        <v>82.5</v>
      </c>
      <c r="B2" s="2">
        <v>-5000</v>
      </c>
      <c r="C2" s="2">
        <v>5000</v>
      </c>
      <c r="D2" s="2" t="s">
        <v>30</v>
      </c>
    </row>
    <row r="3" spans="1:4" x14ac:dyDescent="0.25">
      <c r="A3" s="2">
        <v>83</v>
      </c>
      <c r="B3" s="2">
        <v>0</v>
      </c>
      <c r="C3" s="2">
        <v>0</v>
      </c>
      <c r="D3" s="2" t="s">
        <v>30</v>
      </c>
    </row>
    <row r="4" spans="1:4" x14ac:dyDescent="0.25">
      <c r="A4" s="2">
        <v>83.5</v>
      </c>
      <c r="B4" s="2">
        <v>5000</v>
      </c>
      <c r="C4" s="2">
        <v>-5000</v>
      </c>
      <c r="D4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Personas</vt:lpstr>
      <vt:lpstr>Target_Rate_Impact</vt:lpstr>
      <vt:lpstr>Exposure_Profiles</vt:lpstr>
      <vt:lpstr>Break_Even_Rate</vt:lpstr>
      <vt:lpstr>Sensitivity_Analysis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Aadhithya Bharathi</dc:creator>
  <cp:lastModifiedBy>Aadhithya Bharathi</cp:lastModifiedBy>
  <dcterms:created xsi:type="dcterms:W3CDTF">2026-01-29T13:56:46Z</dcterms:created>
  <dcterms:modified xsi:type="dcterms:W3CDTF">2026-01-29T16:53:44Z</dcterms:modified>
</cp:coreProperties>
</file>